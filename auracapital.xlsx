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f55498ed39b5ac3/Documentos/"/>
    </mc:Choice>
  </mc:AlternateContent>
  <xr:revisionPtr revIDLastSave="0" documentId="8_{48C4FDDC-6148-45B8-BD74-B577216AFB16}" xr6:coauthVersionLast="47" xr6:coauthVersionMax="47" xr10:uidLastSave="{00000000-0000-0000-0000-000000000000}"/>
  <bookViews>
    <workbookView xWindow="28680" yWindow="-30" windowWidth="38640" windowHeight="15720" xr2:uid="{02A14AC7-91DD-45CD-8527-861C6313659B}"/>
  </bookViews>
  <sheets>
    <sheet name="APP" sheetId="2" r:id="rId1"/>
    <sheet name="Controle" sheetId="3" r:id="rId2"/>
  </sheets>
  <definedNames>
    <definedName name="aporte">APP!$D$21</definedName>
    <definedName name="qtd_anos">APP!$D$22</definedName>
    <definedName name="rendimento_carteira">APP!$C$17</definedName>
    <definedName name="taxa_mensal">APP!$D$23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0" i="2" l="1"/>
  <c r="C41" i="2"/>
  <c r="C42" i="2"/>
  <c r="C43" i="2"/>
  <c r="C44" i="2"/>
  <c r="C39" i="2"/>
  <c r="A16" i="3"/>
  <c r="A17" i="3"/>
  <c r="A18" i="3"/>
  <c r="A19" i="3"/>
  <c r="A20" i="3"/>
  <c r="A15" i="3"/>
  <c r="A10" i="3"/>
  <c r="A11" i="3"/>
  <c r="A12" i="3"/>
  <c r="A13" i="3"/>
  <c r="A14" i="3"/>
  <c r="A9" i="3"/>
  <c r="A4" i="3"/>
  <c r="A5" i="3"/>
  <c r="A6" i="3"/>
  <c r="A7" i="3"/>
  <c r="A8" i="3"/>
  <c r="A3" i="3"/>
  <c r="C18" i="2"/>
  <c r="C32" i="2" l="1"/>
  <c r="D32" i="2" s="1"/>
  <c r="C36" i="2"/>
  <c r="C31" i="2"/>
  <c r="D31" i="2" s="1"/>
  <c r="C30" i="2"/>
  <c r="D30" i="2" s="1"/>
  <c r="C29" i="2"/>
  <c r="D29" i="2" s="1"/>
  <c r="C28" i="2"/>
  <c r="D28" i="2" s="1"/>
  <c r="D24" i="2"/>
  <c r="D25" i="2" s="1"/>
  <c r="D44" i="2"/>
  <c r="D39" i="2"/>
  <c r="D41" i="2"/>
  <c r="D42" i="2"/>
  <c r="D43" i="2"/>
  <c r="D40" i="2"/>
  <c r="D45" i="2"/>
</calcChain>
</file>

<file path=xl/sharedStrings.xml><?xml version="1.0" encoding="utf-8"?>
<sst xmlns="http://schemas.openxmlformats.org/spreadsheetml/2006/main" count="69" uniqueCount="33">
  <si>
    <t>Tava de rendimento mensal</t>
  </si>
  <si>
    <t xml:space="preserve">Patromônio acumulado </t>
  </si>
  <si>
    <t xml:space="preserve">Dividendos mensais </t>
  </si>
  <si>
    <t>INVESTIMENTO MENSAL</t>
  </si>
  <si>
    <t>Quanto investir por mês?</t>
  </si>
  <si>
    <t>Por quantos anos investir?</t>
  </si>
  <si>
    <t>Quanto teria em 2 anos?</t>
  </si>
  <si>
    <t>Quanto teria em 5 anos?</t>
  </si>
  <si>
    <t>Quanto teria em 10 anos?</t>
  </si>
  <si>
    <t>Quanto teria em 20 anos?</t>
  </si>
  <si>
    <t>Quanto teria em 30 anos?</t>
  </si>
  <si>
    <t>CENÁRIOS</t>
  </si>
  <si>
    <t>Dividendo</t>
  </si>
  <si>
    <t>CONFIGURAÇÕES</t>
  </si>
  <si>
    <t>Rendimento carteira</t>
  </si>
  <si>
    <t>Salário</t>
  </si>
  <si>
    <t>Conservador</t>
  </si>
  <si>
    <t>Agressivo</t>
  </si>
  <si>
    <t>Moderado</t>
  </si>
  <si>
    <t>VALOR A SER INVESTIDO POR MÊS</t>
  </si>
  <si>
    <t>PERFIL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</si>
  <si>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</si>
  <si>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</si>
  <si>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</si>
  <si>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</si>
  <si>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</si>
  <si>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</si>
  <si>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</si>
  <si>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</si>
  <si>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 xml:space="preserve">HOTELARIAS </t>
  </si>
  <si>
    <t>%</t>
  </si>
  <si>
    <t>CHAVE</t>
  </si>
  <si>
    <t>Sugestão Investimento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</si>
</sst>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8" formatCode="&quot;R$&quot;\ #,##0.0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7F0B0"/>
        <bgColor indexed="64"/>
      </patternFill>
    </fill>
    <fill>
      <patternFill patternType="solid">
        <fgColor theme="1" tint="4.9989318521683403E-2"/>
        <bgColor indexed="64"/>
      </patternFill>
    </fill>
  </fills>
  <borders count="9">
    <border>
      <left/>
      <right/>
      <top/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/>
      <top/>
      <bottom style="medium">
        <color theme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6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/>
    <xf numFmtId="0" fontId="0" fillId="0" borderId="0" xfId="0" applyFill="1" applyBorder="1"/>
    <xf numFmtId="0" fontId="3" fillId="6" borderId="0" xfId="0" applyFont="1" applyFill="1" applyBorder="1"/>
    <xf numFmtId="8" fontId="3" fillId="6" borderId="0" xfId="0" applyNumberFormat="1" applyFont="1" applyFill="1" applyBorder="1" applyAlignment="1">
      <alignment horizontal="center"/>
    </xf>
    <xf numFmtId="0" fontId="4" fillId="3" borderId="5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left" vertical="center"/>
    </xf>
    <xf numFmtId="0" fontId="5" fillId="3" borderId="7" xfId="0" applyFont="1" applyFill="1" applyBorder="1" applyAlignment="1">
      <alignment horizontal="center" vertical="center"/>
    </xf>
    <xf numFmtId="8" fontId="3" fillId="4" borderId="0" xfId="0" applyNumberFormat="1" applyFont="1" applyFill="1" applyBorder="1" applyAlignment="1">
      <alignment horizontal="center"/>
    </xf>
    <xf numFmtId="8" fontId="3" fillId="4" borderId="8" xfId="0" applyNumberFormat="1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9" fontId="0" fillId="0" borderId="0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8" fontId="0" fillId="4" borderId="4" xfId="0" applyNumberFormat="1" applyFont="1" applyFill="1" applyBorder="1" applyAlignment="1">
      <alignment horizontal="center"/>
    </xf>
    <xf numFmtId="0" fontId="6" fillId="4" borderId="1" xfId="0" applyFont="1" applyFill="1" applyBorder="1"/>
    <xf numFmtId="0" fontId="6" fillId="4" borderId="3" xfId="0" applyFont="1" applyFill="1" applyBorder="1"/>
    <xf numFmtId="8" fontId="0" fillId="4" borderId="2" xfId="0" applyNumberFormat="1" applyFill="1" applyBorder="1" applyAlignment="1">
      <alignment horizontal="center"/>
    </xf>
    <xf numFmtId="0" fontId="4" fillId="3" borderId="7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/>
    </xf>
    <xf numFmtId="0" fontId="7" fillId="5" borderId="1" xfId="0" applyFont="1" applyFill="1" applyBorder="1" applyAlignment="1">
      <alignment horizontal="left"/>
    </xf>
    <xf numFmtId="0" fontId="6" fillId="0" borderId="0" xfId="0" applyFont="1" applyBorder="1" applyAlignment="1">
      <alignment horizontal="left"/>
    </xf>
    <xf numFmtId="0" fontId="7" fillId="5" borderId="0" xfId="0" applyFont="1" applyFill="1" applyBorder="1" applyAlignment="1">
      <alignment horizontal="left"/>
    </xf>
    <xf numFmtId="168" fontId="0" fillId="0" borderId="0" xfId="1" applyNumberFormat="1" applyFont="1" applyBorder="1" applyAlignment="1">
      <alignment horizontal="center"/>
    </xf>
    <xf numFmtId="168" fontId="0" fillId="0" borderId="2" xfId="1" applyNumberFormat="1" applyFont="1" applyBorder="1" applyAlignment="1">
      <alignment horizontal="center"/>
    </xf>
    <xf numFmtId="168" fontId="0" fillId="0" borderId="8" xfId="0" applyNumberFormat="1" applyBorder="1" applyAlignment="1">
      <alignment horizontal="center"/>
    </xf>
    <xf numFmtId="168" fontId="0" fillId="0" borderId="4" xfId="0" applyNumberFormat="1" applyBorder="1" applyAlignment="1">
      <alignment horizontal="center"/>
    </xf>
    <xf numFmtId="168" fontId="3" fillId="0" borderId="2" xfId="1" applyNumberFormat="1" applyFont="1" applyBorder="1" applyAlignment="1">
      <alignment horizontal="center" vertical="top"/>
    </xf>
    <xf numFmtId="0" fontId="3" fillId="0" borderId="2" xfId="0" applyFont="1" applyBorder="1" applyAlignment="1">
      <alignment horizontal="center"/>
    </xf>
    <xf numFmtId="10" fontId="3" fillId="0" borderId="2" xfId="0" applyNumberFormat="1" applyFont="1" applyBorder="1" applyAlignment="1">
      <alignment horizontal="center"/>
    </xf>
    <xf numFmtId="8" fontId="3" fillId="5" borderId="2" xfId="0" applyNumberFormat="1" applyFont="1" applyFill="1" applyBorder="1" applyAlignment="1">
      <alignment horizontal="center"/>
    </xf>
    <xf numFmtId="0" fontId="7" fillId="5" borderId="3" xfId="0" applyFont="1" applyFill="1" applyBorder="1" applyAlignment="1">
      <alignment horizontal="left"/>
    </xf>
    <xf numFmtId="0" fontId="7" fillId="5" borderId="8" xfId="0" applyFont="1" applyFill="1" applyBorder="1" applyAlignment="1">
      <alignment horizontal="left"/>
    </xf>
    <xf numFmtId="8" fontId="3" fillId="5" borderId="4" xfId="0" applyNumberFormat="1" applyFont="1" applyFill="1" applyBorder="1" applyAlignment="1">
      <alignment horizontal="center"/>
    </xf>
    <xf numFmtId="0" fontId="4" fillId="2" borderId="5" xfId="0" applyFont="1" applyFill="1" applyBorder="1" applyAlignment="1">
      <alignment horizontal="left"/>
    </xf>
    <xf numFmtId="0" fontId="4" fillId="2" borderId="6" xfId="0" applyFont="1" applyFill="1" applyBorder="1" applyAlignment="1">
      <alignment horizontal="left"/>
    </xf>
    <xf numFmtId="0" fontId="4" fillId="2" borderId="7" xfId="0" applyFont="1" applyFill="1" applyBorder="1" applyAlignment="1">
      <alignment horizontal="left"/>
    </xf>
    <xf numFmtId="0" fontId="0" fillId="4" borderId="0" xfId="0" applyFill="1"/>
    <xf numFmtId="0" fontId="6" fillId="7" borderId="0" xfId="0" applyFont="1" applyFill="1" applyBorder="1"/>
    <xf numFmtId="0" fontId="0" fillId="7" borderId="0" xfId="0" applyFill="1"/>
    <xf numFmtId="168" fontId="0" fillId="4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0" fontId="3" fillId="4" borderId="0" xfId="0" applyFont="1" applyFill="1"/>
    <xf numFmtId="168" fontId="3" fillId="4" borderId="0" xfId="0" applyNumberFormat="1" applyFont="1" applyFill="1" applyAlignment="1">
      <alignment horizontal="center"/>
    </xf>
    <xf numFmtId="9" fontId="0" fillId="0" borderId="0" xfId="0" applyNumberFormat="1" applyAlignment="1">
      <alignment horizontal="center"/>
    </xf>
    <xf numFmtId="0" fontId="3" fillId="4" borderId="0" xfId="0" applyFont="1" applyFill="1" applyAlignment="1">
      <alignment horizontal="center"/>
    </xf>
    <xf numFmtId="168" fontId="3" fillId="4" borderId="0" xfId="0" applyNumberFormat="1" applyFont="1" applyFill="1"/>
    <xf numFmtId="9" fontId="0" fillId="0" borderId="0" xfId="0" applyNumberFormat="1" applyBorder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9" fontId="0" fillId="0" borderId="8" xfId="0" applyNumberFormat="1" applyBorder="1" applyAlignment="1">
      <alignment horizontal="center"/>
    </xf>
    <xf numFmtId="0" fontId="0" fillId="0" borderId="6" xfId="0" applyBorder="1"/>
    <xf numFmtId="0" fontId="0" fillId="0" borderId="6" xfId="0" applyBorder="1" applyAlignment="1">
      <alignment horizontal="center"/>
    </xf>
    <xf numFmtId="9" fontId="0" fillId="0" borderId="6" xfId="0" applyNumberFormat="1" applyBorder="1" applyAlignment="1">
      <alignment horizontal="center"/>
    </xf>
    <xf numFmtId="0" fontId="2" fillId="8" borderId="0" xfId="0" applyFont="1" applyFill="1"/>
    <xf numFmtId="0" fontId="2" fillId="8" borderId="0" xfId="0" applyFont="1" applyFill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colors>
    <mruColors>
      <color rgb="FFE7F0B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APP!$B$39:$B$44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 </c:v>
                </c:pt>
              </c:strCache>
            </c:strRef>
          </c:cat>
          <c:val>
            <c:numRef>
              <c:f>APP!$C$39:$C$44</c:f>
              <c:numCache>
                <c:formatCode>0%</c:formatCode>
                <c:ptCount val="6"/>
                <c:pt idx="0">
                  <c:v>0.3</c:v>
                </c:pt>
                <c:pt idx="1">
                  <c:v>0.5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C1-40C1-A5D7-3564EE0FA1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</xdr:colOff>
      <xdr:row>0</xdr:row>
      <xdr:rowOff>53977</xdr:rowOff>
    </xdr:from>
    <xdr:to>
      <xdr:col>6</xdr:col>
      <xdr:colOff>59201</xdr:colOff>
      <xdr:row>13</xdr:row>
      <xdr:rowOff>38101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A920B54-04DB-EF5F-99CA-C90C35B836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875" t="-1" r="40110" b="497"/>
        <a:stretch>
          <a:fillRect/>
        </a:stretch>
      </xdr:blipFill>
      <xdr:spPr>
        <a:xfrm>
          <a:off x="1" y="53977"/>
          <a:ext cx="7057390" cy="2378074"/>
        </a:xfrm>
        <a:prstGeom prst="roundRect">
          <a:avLst>
            <a:gd name="adj" fmla="val 16667"/>
          </a:avLst>
        </a:prstGeom>
        <a:ln>
          <a:noFill/>
        </a:ln>
        <a:effectLst>
          <a:outerShdw blurRad="76200" dist="38100" dir="7800000" algn="tl" rotWithShape="0">
            <a:srgbClr val="000000">
              <a:alpha val="40000"/>
            </a:srgbClr>
          </a:outerShdw>
        </a:effectLst>
        <a:scene3d>
          <a:camera prst="orthographicFront"/>
          <a:lightRig rig="contrasting" dir="t">
            <a:rot lat="0" lon="0" rev="4200000"/>
          </a:lightRig>
        </a:scene3d>
        <a:sp3d prstMaterial="plastic">
          <a:bevelT w="381000" h="114300" prst="relaxedInset"/>
          <a:contourClr>
            <a:srgbClr val="969696"/>
          </a:contourClr>
        </a:sp3d>
      </xdr:spPr>
    </xdr:pic>
    <xdr:clientData/>
  </xdr:twoCellAnchor>
  <xdr:twoCellAnchor>
    <xdr:from>
      <xdr:col>1</xdr:col>
      <xdr:colOff>547614</xdr:colOff>
      <xdr:row>45</xdr:row>
      <xdr:rowOff>84846</xdr:rowOff>
    </xdr:from>
    <xdr:to>
      <xdr:col>3</xdr:col>
      <xdr:colOff>283844</xdr:colOff>
      <xdr:row>60</xdr:row>
      <xdr:rowOff>76639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76F36BD-A335-0906-963E-D908710CBC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20B17-DA78-4ED8-AFD8-3992DBE594B3}">
  <dimension ref="B14:H58"/>
  <sheetViews>
    <sheetView showGridLines="0" tabSelected="1" zoomScale="130" zoomScaleNormal="130" workbookViewId="0">
      <selection activeCell="G56" sqref="G56"/>
    </sheetView>
  </sheetViews>
  <sheetFormatPr defaultColWidth="0" defaultRowHeight="14.4" x14ac:dyDescent="0.3"/>
  <cols>
    <col min="1" max="1" width="6.33203125" customWidth="1"/>
    <col min="2" max="2" width="41.21875" customWidth="1"/>
    <col min="3" max="3" width="29.33203125" customWidth="1"/>
    <col min="4" max="4" width="14" customWidth="1"/>
    <col min="5" max="5" width="7.33203125" customWidth="1"/>
    <col min="6" max="6" width="3.77734375" customWidth="1"/>
    <col min="7" max="7" width="2.88671875" customWidth="1"/>
    <col min="8" max="8" width="4.5546875" customWidth="1"/>
    <col min="9" max="9" width="3.33203125" customWidth="1"/>
    <col min="10" max="11" width="8.88671875" hidden="1" customWidth="1"/>
    <col min="12" max="16384" width="8.88671875" hidden="1"/>
  </cols>
  <sheetData>
    <row r="14" spans="2:4" ht="15" thickBot="1" x14ac:dyDescent="0.35"/>
    <row r="15" spans="2:4" ht="21" x14ac:dyDescent="0.4">
      <c r="B15" s="34" t="s">
        <v>13</v>
      </c>
      <c r="C15" s="35"/>
      <c r="D15" s="36"/>
    </row>
    <row r="16" spans="2:4" ht="15.6" x14ac:dyDescent="0.3">
      <c r="B16" s="15" t="s">
        <v>15</v>
      </c>
      <c r="C16" s="23">
        <v>2000</v>
      </c>
      <c r="D16" s="24"/>
    </row>
    <row r="17" spans="2:8" ht="15.6" x14ac:dyDescent="0.3">
      <c r="B17" s="15" t="s">
        <v>14</v>
      </c>
      <c r="C17" s="12">
        <v>6.0000000000000001E-3</v>
      </c>
      <c r="D17" s="13"/>
    </row>
    <row r="18" spans="2:8" ht="16.2" thickBot="1" x14ac:dyDescent="0.35">
      <c r="B18" s="16" t="s">
        <v>32</v>
      </c>
      <c r="C18" s="25">
        <f>C16*30%</f>
        <v>600</v>
      </c>
      <c r="D18" s="26"/>
    </row>
    <row r="19" spans="2:8" ht="15" thickBot="1" x14ac:dyDescent="0.35"/>
    <row r="20" spans="2:8" ht="40.799999999999997" customHeight="1" x14ac:dyDescent="0.3">
      <c r="B20" s="6" t="s">
        <v>3</v>
      </c>
      <c r="C20" s="7"/>
      <c r="D20" s="18"/>
    </row>
    <row r="21" spans="2:8" ht="15.6" x14ac:dyDescent="0.3">
      <c r="B21" s="19" t="s">
        <v>4</v>
      </c>
      <c r="C21" s="21"/>
      <c r="D21" s="27">
        <v>200</v>
      </c>
    </row>
    <row r="22" spans="2:8" ht="15.6" x14ac:dyDescent="0.3">
      <c r="B22" s="19" t="s">
        <v>5</v>
      </c>
      <c r="C22" s="21"/>
      <c r="D22" s="28">
        <v>10</v>
      </c>
    </row>
    <row r="23" spans="2:8" ht="15.6" x14ac:dyDescent="0.3">
      <c r="B23" s="19" t="s">
        <v>0</v>
      </c>
      <c r="C23" s="21"/>
      <c r="D23" s="29">
        <v>1.0789999999999999E-2</v>
      </c>
    </row>
    <row r="24" spans="2:8" ht="15.6" x14ac:dyDescent="0.3">
      <c r="B24" s="20" t="s">
        <v>1</v>
      </c>
      <c r="C24" s="22"/>
      <c r="D24" s="30">
        <f>FV(D23,D22*12,D21*-1)</f>
        <v>48656.842506034438</v>
      </c>
      <c r="H24" s="2"/>
    </row>
    <row r="25" spans="2:8" ht="16.2" thickBot="1" x14ac:dyDescent="0.35">
      <c r="B25" s="31" t="s">
        <v>2</v>
      </c>
      <c r="C25" s="32"/>
      <c r="D25" s="33">
        <f>D24*C17</f>
        <v>291.94105503620665</v>
      </c>
      <c r="F25" s="2"/>
      <c r="G25" s="2"/>
    </row>
    <row r="26" spans="2:8" ht="15" thickBot="1" x14ac:dyDescent="0.35">
      <c r="B26" s="4"/>
      <c r="C26" s="5"/>
      <c r="F26" s="2"/>
      <c r="G26" s="2"/>
    </row>
    <row r="27" spans="2:8" ht="21" x14ac:dyDescent="0.3">
      <c r="B27" s="6" t="s">
        <v>11</v>
      </c>
      <c r="C27" s="7"/>
      <c r="D27" s="8" t="s">
        <v>12</v>
      </c>
      <c r="E27" s="2"/>
    </row>
    <row r="28" spans="2:8" ht="15.6" x14ac:dyDescent="0.3">
      <c r="B28" s="15" t="s">
        <v>6</v>
      </c>
      <c r="C28" s="9">
        <f>FV($D$23,2*12,$D$21*-1)</f>
        <v>5445.5254595290435</v>
      </c>
      <c r="D28" s="17">
        <f>C28*rendimento_carteira</f>
        <v>32.673152757174265</v>
      </c>
    </row>
    <row r="29" spans="2:8" ht="15.6" x14ac:dyDescent="0.3">
      <c r="B29" s="15" t="s">
        <v>7</v>
      </c>
      <c r="C29" s="9">
        <f>FV($D$23,5*12,$D$21*-1)</f>
        <v>16755.382799697527</v>
      </c>
      <c r="D29" s="17">
        <f>C29*rendimento_carteira</f>
        <v>100.53229679818516</v>
      </c>
    </row>
    <row r="30" spans="2:8" ht="15.6" x14ac:dyDescent="0.3">
      <c r="B30" s="15" t="s">
        <v>8</v>
      </c>
      <c r="C30" s="9">
        <f>FV($D$23,10*12,$D$21*-1)</f>
        <v>48656.842506034438</v>
      </c>
      <c r="D30" s="17">
        <f>C30*rendimento_carteira</f>
        <v>291.94105503620665</v>
      </c>
    </row>
    <row r="31" spans="2:8" ht="15.6" x14ac:dyDescent="0.3">
      <c r="B31" s="15" t="s">
        <v>9</v>
      </c>
      <c r="C31" s="9">
        <f>FV($D$23,20*12,$D$21*-1)</f>
        <v>225039.68001941612</v>
      </c>
      <c r="D31" s="17">
        <f>C31*rendimento_carteira</f>
        <v>1350.2380801164968</v>
      </c>
    </row>
    <row r="32" spans="2:8" ht="16.2" thickBot="1" x14ac:dyDescent="0.35">
      <c r="B32" s="16" t="s">
        <v>10</v>
      </c>
      <c r="C32" s="10">
        <f>FV($D$23,30*12,$D$21*-1)</f>
        <v>864433.93100094295</v>
      </c>
      <c r="D32" s="14">
        <f>C32*rendimento_carteira</f>
        <v>5186.6035860056581</v>
      </c>
    </row>
    <row r="35" spans="2:4" ht="15.6" x14ac:dyDescent="0.3">
      <c r="B35" s="38" t="s">
        <v>20</v>
      </c>
      <c r="C35" s="39" t="s">
        <v>16</v>
      </c>
      <c r="D35" s="39"/>
    </row>
    <row r="36" spans="2:4" x14ac:dyDescent="0.3">
      <c r="B36" s="42" t="s">
        <v>19</v>
      </c>
      <c r="C36" s="43">
        <f>aporte</f>
        <v>200</v>
      </c>
      <c r="D36" s="41"/>
    </row>
    <row r="38" spans="2:4" x14ac:dyDescent="0.3">
      <c r="B38" s="45" t="s">
        <v>21</v>
      </c>
      <c r="C38" s="45" t="s">
        <v>22</v>
      </c>
      <c r="D38" s="45" t="s">
        <v>23</v>
      </c>
    </row>
    <row r="39" spans="2:4" x14ac:dyDescent="0.3">
      <c r="B39" s="1" t="s">
        <v>24</v>
      </c>
      <c r="C39" s="44">
        <f>VLOOKUP($C$35&amp;"-"&amp;B39,Controle!A2:D20,4,FALSE)</f>
        <v>0.3</v>
      </c>
      <c r="D39" s="40">
        <f>$C$36*C39</f>
        <v>60</v>
      </c>
    </row>
    <row r="40" spans="2:4" x14ac:dyDescent="0.3">
      <c r="B40" s="1" t="s">
        <v>25</v>
      </c>
      <c r="C40" s="44">
        <f>VLOOKUP($C$35&amp;"-"&amp;B40,Controle!A3:D21,4,FALSE)</f>
        <v>0.5</v>
      </c>
      <c r="D40" s="40">
        <f>$C$36*C40</f>
        <v>100</v>
      </c>
    </row>
    <row r="41" spans="2:4" x14ac:dyDescent="0.3">
      <c r="B41" s="1" t="s">
        <v>26</v>
      </c>
      <c r="C41" s="44">
        <f>VLOOKUP($C$35&amp;"-"&amp;B41,Controle!A4:D22,4,FALSE)</f>
        <v>0.1</v>
      </c>
      <c r="D41" s="40">
        <f t="shared" ref="D41:D44" si="0">$C$36*C41</f>
        <v>20</v>
      </c>
    </row>
    <row r="42" spans="2:4" x14ac:dyDescent="0.3">
      <c r="B42" s="1" t="s">
        <v>27</v>
      </c>
      <c r="C42" s="44">
        <f>VLOOKUP($C$35&amp;"-"&amp;B42,Controle!A5:D23,4,FALSE)</f>
        <v>0.1</v>
      </c>
      <c r="D42" s="40">
        <f t="shared" si="0"/>
        <v>20</v>
      </c>
    </row>
    <row r="43" spans="2:4" x14ac:dyDescent="0.3">
      <c r="B43" s="1" t="s">
        <v>28</v>
      </c>
      <c r="C43" s="44">
        <f>VLOOKUP($C$35&amp;"-"&amp;B43,Controle!A6:D24,4,FALSE)</f>
        <v>0</v>
      </c>
      <c r="D43" s="40">
        <f t="shared" si="0"/>
        <v>0</v>
      </c>
    </row>
    <row r="44" spans="2:4" x14ac:dyDescent="0.3">
      <c r="B44" s="1" t="s">
        <v>29</v>
      </c>
      <c r="C44" s="44">
        <f>VLOOKUP($C$35&amp;"-"&amp;B44,Controle!A7:D25,4,FALSE)</f>
        <v>0</v>
      </c>
      <c r="D44" s="40">
        <f t="shared" si="0"/>
        <v>0</v>
      </c>
    </row>
    <row r="45" spans="2:4" x14ac:dyDescent="0.3">
      <c r="B45" s="37"/>
      <c r="C45" s="37"/>
      <c r="D45" s="46">
        <f>SUM(D39:D44)</f>
        <v>200</v>
      </c>
    </row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  <row r="56" customFormat="1" x14ac:dyDescent="0.3"/>
    <row r="57" customFormat="1" x14ac:dyDescent="0.3"/>
    <row r="58" customFormat="1" x14ac:dyDescent="0.3"/>
  </sheetData>
  <mergeCells count="11">
    <mergeCell ref="B23:C23"/>
    <mergeCell ref="B24:C24"/>
    <mergeCell ref="B25:C25"/>
    <mergeCell ref="B27:C27"/>
    <mergeCell ref="B15:D15"/>
    <mergeCell ref="C16:D16"/>
    <mergeCell ref="C17:D17"/>
    <mergeCell ref="C18:D18"/>
    <mergeCell ref="B20:D20"/>
    <mergeCell ref="B21:C21"/>
    <mergeCell ref="B22:C22"/>
  </mergeCells>
  <dataValidations count="1">
    <dataValidation type="list" allowBlank="1" showInputMessage="1" showErrorMessage="1" sqref="C35" xr:uid="{63449F9C-A4C9-4E08-A18B-6906B2800618}">
      <formula1>"Conservador,Moderado,Agressivo"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4FB78-7CDB-4ADD-BFA2-5E7A3EAB3A00}">
  <dimension ref="A2:D20"/>
  <sheetViews>
    <sheetView workbookViewId="0">
      <selection activeCell="K22" sqref="K22"/>
    </sheetView>
  </sheetViews>
  <sheetFormatPr defaultRowHeight="14.4" x14ac:dyDescent="0.3"/>
  <cols>
    <col min="1" max="1" width="30" bestFit="1" customWidth="1"/>
    <col min="2" max="2" width="11.77734375" bestFit="1" customWidth="1"/>
    <col min="3" max="3" width="18" bestFit="1" customWidth="1"/>
  </cols>
  <sheetData>
    <row r="2" spans="1:4" x14ac:dyDescent="0.3">
      <c r="A2" s="54" t="s">
        <v>31</v>
      </c>
      <c r="B2" s="54" t="s">
        <v>20</v>
      </c>
      <c r="C2" s="54" t="s">
        <v>21</v>
      </c>
      <c r="D2" s="55" t="s">
        <v>30</v>
      </c>
    </row>
    <row r="3" spans="1:4" x14ac:dyDescent="0.3">
      <c r="A3" s="2" t="str">
        <f>$B$3&amp;"-"&amp;C3</f>
        <v>Conservador-PAPEL</v>
      </c>
      <c r="B3" s="2" t="s">
        <v>16</v>
      </c>
      <c r="C3" s="11" t="s">
        <v>24</v>
      </c>
      <c r="D3" s="47">
        <v>0.3</v>
      </c>
    </row>
    <row r="4" spans="1:4" x14ac:dyDescent="0.3">
      <c r="A4" s="2" t="str">
        <f t="shared" ref="A4:A20" si="0">$B$3&amp;"-"&amp;C4</f>
        <v>Conservador-TIJOLO</v>
      </c>
      <c r="B4" s="2" t="s">
        <v>16</v>
      </c>
      <c r="C4" s="11" t="s">
        <v>25</v>
      </c>
      <c r="D4" s="47">
        <v>0.5</v>
      </c>
    </row>
    <row r="5" spans="1:4" x14ac:dyDescent="0.3">
      <c r="A5" s="2" t="str">
        <f t="shared" si="0"/>
        <v>Conservador-HÍBRIDOS</v>
      </c>
      <c r="B5" s="2" t="s">
        <v>16</v>
      </c>
      <c r="C5" s="11" t="s">
        <v>26</v>
      </c>
      <c r="D5" s="47">
        <v>0.1</v>
      </c>
    </row>
    <row r="6" spans="1:4" x14ac:dyDescent="0.3">
      <c r="A6" s="2" t="str">
        <f t="shared" si="0"/>
        <v>Conservador-FOFs</v>
      </c>
      <c r="B6" s="2" t="s">
        <v>16</v>
      </c>
      <c r="C6" s="11" t="s">
        <v>27</v>
      </c>
      <c r="D6" s="47">
        <v>0.1</v>
      </c>
    </row>
    <row r="7" spans="1:4" x14ac:dyDescent="0.3">
      <c r="A7" s="2" t="str">
        <f t="shared" si="0"/>
        <v>Conservador-DESENVOLVIMENTO</v>
      </c>
      <c r="B7" s="2" t="s">
        <v>16</v>
      </c>
      <c r="C7" s="11" t="s">
        <v>28</v>
      </c>
      <c r="D7" s="47">
        <v>0</v>
      </c>
    </row>
    <row r="8" spans="1:4" ht="15" thickBot="1" x14ac:dyDescent="0.35">
      <c r="A8" s="48" t="str">
        <f t="shared" si="0"/>
        <v xml:space="preserve">Conservador-HOTELARIAS </v>
      </c>
      <c r="B8" s="48" t="s">
        <v>16</v>
      </c>
      <c r="C8" s="49" t="s">
        <v>29</v>
      </c>
      <c r="D8" s="50">
        <v>0</v>
      </c>
    </row>
    <row r="9" spans="1:4" x14ac:dyDescent="0.3">
      <c r="A9" s="2" t="str">
        <f>$B$9&amp;"-"&amp;C9</f>
        <v>Moderado-PAPEL</v>
      </c>
      <c r="B9" s="51" t="s">
        <v>18</v>
      </c>
      <c r="C9" s="52" t="s">
        <v>24</v>
      </c>
      <c r="D9" s="53">
        <v>0.32</v>
      </c>
    </row>
    <row r="10" spans="1:4" x14ac:dyDescent="0.3">
      <c r="A10" s="2" t="str">
        <f t="shared" ref="A10:A14" si="1">$B$9&amp;"-"&amp;C10</f>
        <v>Moderado-TIJOLO</v>
      </c>
      <c r="B10" s="2" t="s">
        <v>18</v>
      </c>
      <c r="C10" s="11" t="s">
        <v>25</v>
      </c>
      <c r="D10" s="47">
        <v>0.4</v>
      </c>
    </row>
    <row r="11" spans="1:4" x14ac:dyDescent="0.3">
      <c r="A11" s="2" t="str">
        <f t="shared" si="1"/>
        <v>Moderado-HÍBRIDOS</v>
      </c>
      <c r="B11" s="2" t="s">
        <v>18</v>
      </c>
      <c r="C11" s="11" t="s">
        <v>26</v>
      </c>
      <c r="D11" s="47">
        <v>0.08</v>
      </c>
    </row>
    <row r="12" spans="1:4" x14ac:dyDescent="0.3">
      <c r="A12" s="2" t="str">
        <f t="shared" si="1"/>
        <v>Moderado-FOFs</v>
      </c>
      <c r="B12" s="2" t="s">
        <v>18</v>
      </c>
      <c r="C12" s="11" t="s">
        <v>27</v>
      </c>
      <c r="D12" s="47">
        <v>0.1</v>
      </c>
    </row>
    <row r="13" spans="1:4" x14ac:dyDescent="0.3">
      <c r="A13" s="2" t="str">
        <f t="shared" si="1"/>
        <v>Moderado-DESENVOLVIMENTO</v>
      </c>
      <c r="B13" s="2" t="s">
        <v>18</v>
      </c>
      <c r="C13" s="11" t="s">
        <v>28</v>
      </c>
      <c r="D13" s="47">
        <v>0.05</v>
      </c>
    </row>
    <row r="14" spans="1:4" ht="15" thickBot="1" x14ac:dyDescent="0.35">
      <c r="A14" s="48" t="str">
        <f t="shared" si="1"/>
        <v xml:space="preserve">Moderado-HOTELARIAS </v>
      </c>
      <c r="B14" s="48" t="s">
        <v>18</v>
      </c>
      <c r="C14" s="49" t="s">
        <v>29</v>
      </c>
      <c r="D14" s="50">
        <v>0.05</v>
      </c>
    </row>
    <row r="15" spans="1:4" x14ac:dyDescent="0.3">
      <c r="A15" s="3" t="str">
        <f>$B$15&amp;"-"&amp;C15</f>
        <v>Agressivo-PAPEL</v>
      </c>
      <c r="B15" t="s">
        <v>17</v>
      </c>
      <c r="C15" s="1" t="s">
        <v>24</v>
      </c>
      <c r="D15" s="44">
        <v>0.5</v>
      </c>
    </row>
    <row r="16" spans="1:4" x14ac:dyDescent="0.3">
      <c r="A16" s="3" t="str">
        <f t="shared" ref="A16:A20" si="2">$B$15&amp;"-"&amp;C16</f>
        <v>Agressivo-TIJOLO</v>
      </c>
      <c r="B16" t="s">
        <v>17</v>
      </c>
      <c r="C16" s="1" t="s">
        <v>25</v>
      </c>
      <c r="D16" s="44">
        <v>0.1</v>
      </c>
    </row>
    <row r="17" spans="1:4" x14ac:dyDescent="0.3">
      <c r="A17" s="3" t="str">
        <f t="shared" si="2"/>
        <v>Agressivo-HÍBRIDOS</v>
      </c>
      <c r="B17" t="s">
        <v>17</v>
      </c>
      <c r="C17" s="1" t="s">
        <v>26</v>
      </c>
      <c r="D17" s="44">
        <v>0.05</v>
      </c>
    </row>
    <row r="18" spans="1:4" x14ac:dyDescent="0.3">
      <c r="A18" s="3" t="str">
        <f t="shared" si="2"/>
        <v>Agressivo-FOFs</v>
      </c>
      <c r="B18" t="s">
        <v>17</v>
      </c>
      <c r="C18" s="1" t="s">
        <v>27</v>
      </c>
      <c r="D18" s="44">
        <v>0.05</v>
      </c>
    </row>
    <row r="19" spans="1:4" x14ac:dyDescent="0.3">
      <c r="A19" s="3" t="str">
        <f t="shared" si="2"/>
        <v>Agressivo-DESENVOLVIMENTO</v>
      </c>
      <c r="B19" t="s">
        <v>17</v>
      </c>
      <c r="C19" s="1" t="s">
        <v>28</v>
      </c>
      <c r="D19" s="44">
        <v>0.2</v>
      </c>
    </row>
    <row r="20" spans="1:4" x14ac:dyDescent="0.3">
      <c r="A20" s="3" t="str">
        <f t="shared" si="2"/>
        <v xml:space="preserve">Agressivo-HOTELARIAS </v>
      </c>
      <c r="B20" t="s">
        <v>17</v>
      </c>
      <c r="C20" s="1" t="s">
        <v>29</v>
      </c>
      <c r="D20" s="44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4</vt:i4>
      </vt:variant>
    </vt:vector>
  </HeadingPairs>
  <TitlesOfParts>
    <vt:vector size="6" baseType="lpstr">
      <vt:lpstr>APP</vt:lpstr>
      <vt:lpstr>Controle</vt:lpstr>
      <vt:lpstr>aporte</vt:lpstr>
      <vt:lpstr>qtd_anos</vt:lpstr>
      <vt:lpstr>rendimento_carteira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Juliana Dantas Piasentin</dc:creator>
  <cp:lastModifiedBy>Juliana Dantas Piasentin</cp:lastModifiedBy>
  <dcterms:created xsi:type="dcterms:W3CDTF">2026-09-25T16:33:55Z</dcterms:created>
  <dcterms:modified xsi:type="dcterms:W3CDTF">2026-09-25T22:04:42Z</dcterms:modified>
</cp:coreProperties>
</file>